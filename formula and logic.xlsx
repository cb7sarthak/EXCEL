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th\Desktop\pw assignment\"/>
    </mc:Choice>
  </mc:AlternateContent>
  <xr:revisionPtr revIDLastSave="0" documentId="8_{CC69D31E-914F-4D48-A7EA-F85D1F12D321}" xr6:coauthVersionLast="47" xr6:coauthVersionMax="47" xr10:uidLastSave="{00000000-0000-0000-0000-000000000000}"/>
  <bookViews>
    <workbookView xWindow="-108" yWindow="-108" windowWidth="23256" windowHeight="12456" xr2:uid="{528A4407-1552-4CE3-950B-3060325D3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1" l="1"/>
  <c r="F36" i="1"/>
  <c r="F37" i="1"/>
  <c r="F35" i="1"/>
  <c r="E29" i="1"/>
  <c r="F22" i="1"/>
  <c r="F10" i="1"/>
  <c r="F11" i="1"/>
  <c r="F12" i="1"/>
  <c r="F9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<sst xmlns="http://schemas.openxmlformats.org/spreadsheetml/2006/main" count="71" uniqueCount="52">
  <si>
    <t>Name</t>
  </si>
  <si>
    <t>Marks</t>
  </si>
  <si>
    <t>Riya</t>
  </si>
  <si>
    <t>Rahul</t>
  </si>
  <si>
    <t>Siya</t>
  </si>
  <si>
    <t>Ram</t>
  </si>
  <si>
    <t>Raju</t>
  </si>
  <si>
    <t>Q1write a formula to check if the marks in cell are greater than or equal to 40. If yes, return , otherwiseB2 "Pass"
"Fai</t>
  </si>
  <si>
    <t>Employee Name</t>
  </si>
  <si>
    <t>Sales</t>
  </si>
  <si>
    <t>Attendance</t>
  </si>
  <si>
    <t>Arjun</t>
  </si>
  <si>
    <t>Anjali</t>
  </si>
  <si>
    <t>Simran</t>
  </si>
  <si>
    <t>Rohit</t>
  </si>
  <si>
    <t xml:space="preserve">bonus </t>
  </si>
  <si>
    <t>Grade</t>
  </si>
  <si>
    <t>Raj</t>
  </si>
  <si>
    <t>Rani</t>
  </si>
  <si>
    <t>Neha</t>
  </si>
  <si>
    <t>Sneha</t>
  </si>
  <si>
    <t>Vivek</t>
  </si>
  <si>
    <t xml:space="preserve"> Q.2company gives a bonus  if sales are above 40,000 and attendance is greater than or equal to 90%. Write a
formula to calculate whether the employee will get a bonus or not .</t>
  </si>
  <si>
    <t>Employee ID</t>
  </si>
  <si>
    <t>Department</t>
  </si>
  <si>
    <t>E101</t>
  </si>
  <si>
    <t>IT</t>
  </si>
  <si>
    <t>E104</t>
  </si>
  <si>
    <t>Sejal</t>
  </si>
  <si>
    <t>E102</t>
  </si>
  <si>
    <t>HR</t>
  </si>
  <si>
    <t>E103</t>
  </si>
  <si>
    <t>Roshni</t>
  </si>
  <si>
    <t>Finance</t>
  </si>
  <si>
    <t xml:space="preserve">Q3.Write a nested IF formula:_x000B_ If marks in are ≥ 90 → , ≥ 75 → , ≥ 50 → , otherwise .dont know </t>
  </si>
  <si>
    <t>Q4.Find the Department of Employee ID = E103. Also explain which LOOKUP function is used and why?</t>
  </si>
  <si>
    <t xml:space="preserve">we use v look up because we are searching the data in coloumn that too 1st and it will go like left to right </t>
  </si>
  <si>
    <t>Commission Rate</t>
  </si>
  <si>
    <t>Alex</t>
  </si>
  <si>
    <t>Bob</t>
  </si>
  <si>
    <t>Anna</t>
  </si>
  <si>
    <t xml:space="preserve">leave taken </t>
  </si>
  <si>
    <t xml:space="preserve">leave allowed </t>
  </si>
  <si>
    <t>Q5.If a salesperson achieves sales of ₹45,000, use the VLOOKUP function to determine the commission rate applicable.</t>
  </si>
  <si>
    <t>Q6.Write an IF function to check whether an employee has Exceeded their allowed leave balance. If Leaves Taken &gt; Allowed Leaves, display "Exceeded". Otherwise, display "OK".</t>
  </si>
  <si>
    <t>Salary</t>
  </si>
  <si>
    <t>E105</t>
  </si>
  <si>
    <t>E106</t>
  </si>
  <si>
    <t>Q7.Find the salary of EmpID = E105 using INDEX-MATCH Function.</t>
  </si>
  <si>
    <t>E301</t>
  </si>
  <si>
    <t>E303</t>
  </si>
  <si>
    <t>Q8.use the XLOOKUP function to find the Department of the employee with Emp ID = E303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</si>
</sst>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492A-D4E9-49DA-AD51-0A5A294A30FC}">
  <dimension ref="A1:F49"/>
  <sheetViews>
    <sheetView tabSelected="1" workbookViewId="0">
      <selection activeCell="A45" sqref="A45"/>
    </sheetView>
  </sheetViews>
  <sheetFormatPr defaultRowHeight="14.4" x14ac:dyDescent="0.3"/>
  <cols>
    <col min="1" max="1" width="145.21875" bestFit="1" customWidth="1"/>
    <col min="4" max="4" width="15.21875" bestFit="1" customWidth="1"/>
    <col min="5" max="5" width="11.44140625" bestFit="1" customWidth="1"/>
  </cols>
  <sheetData>
    <row r="1" spans="1:6" ht="28.8" x14ac:dyDescent="0.3">
      <c r="A1" s="1" t="s">
        <v>7</v>
      </c>
      <c r="B1" t="s">
        <v>0</v>
      </c>
      <c r="C1" t="s">
        <v>1</v>
      </c>
    </row>
    <row r="2" spans="1:6" x14ac:dyDescent="0.3">
      <c r="B2" t="s">
        <v>2</v>
      </c>
      <c r="C2">
        <v>45</v>
      </c>
      <c r="D2" t="str">
        <f>IF($C2&gt;=40,"Pass","Fail")</f>
        <v>Pass</v>
      </c>
    </row>
    <row r="3" spans="1:6" x14ac:dyDescent="0.3">
      <c r="B3" t="s">
        <v>3</v>
      </c>
      <c r="C3">
        <v>80</v>
      </c>
      <c r="D3" t="str">
        <f t="shared" ref="D3:D6" si="0">IF($C3&gt;=40,"Pass","Fail")</f>
        <v>Pass</v>
      </c>
    </row>
    <row r="4" spans="1:6" x14ac:dyDescent="0.3">
      <c r="B4" t="s">
        <v>4</v>
      </c>
      <c r="C4">
        <v>72</v>
      </c>
      <c r="D4" t="str">
        <f t="shared" si="0"/>
        <v>Pass</v>
      </c>
    </row>
    <row r="5" spans="1:6" x14ac:dyDescent="0.3">
      <c r="B5" t="s">
        <v>5</v>
      </c>
      <c r="C5">
        <v>30</v>
      </c>
      <c r="D5" t="str">
        <f t="shared" si="0"/>
        <v>Fail</v>
      </c>
    </row>
    <row r="6" spans="1:6" x14ac:dyDescent="0.3">
      <c r="B6" t="s">
        <v>6</v>
      </c>
      <c r="C6">
        <v>55</v>
      </c>
      <c r="D6" t="str">
        <f t="shared" si="0"/>
        <v>Pass</v>
      </c>
    </row>
    <row r="8" spans="1:6" ht="28.8" x14ac:dyDescent="0.3">
      <c r="A8" s="1" t="s">
        <v>22</v>
      </c>
      <c r="C8" t="s">
        <v>8</v>
      </c>
      <c r="D8" t="s">
        <v>9</v>
      </c>
      <c r="E8" t="s">
        <v>10</v>
      </c>
      <c r="F8" t="s">
        <v>15</v>
      </c>
    </row>
    <row r="9" spans="1:6" x14ac:dyDescent="0.3">
      <c r="C9" t="s">
        <v>11</v>
      </c>
      <c r="D9">
        <v>55000</v>
      </c>
      <c r="E9">
        <v>95</v>
      </c>
      <c r="F9" t="str">
        <f>IF(AND($D9&gt;=40000,$E9&gt;=90),"bonus","NO BONUS")</f>
        <v>bonus</v>
      </c>
    </row>
    <row r="10" spans="1:6" x14ac:dyDescent="0.3">
      <c r="C10" t="s">
        <v>12</v>
      </c>
      <c r="D10">
        <v>25000</v>
      </c>
      <c r="E10">
        <v>65</v>
      </c>
      <c r="F10" t="str">
        <f t="shared" ref="F10:F12" si="1">IF(AND($D10&gt;=40000,$E10&gt;=90),"bonus","NO BONUS")</f>
        <v>NO BONUS</v>
      </c>
    </row>
    <row r="11" spans="1:6" x14ac:dyDescent="0.3">
      <c r="C11" t="s">
        <v>13</v>
      </c>
      <c r="D11">
        <v>65000</v>
      </c>
      <c r="E11">
        <v>85</v>
      </c>
      <c r="F11" t="str">
        <f t="shared" si="1"/>
        <v>NO BONUS</v>
      </c>
    </row>
    <row r="12" spans="1:6" x14ac:dyDescent="0.3">
      <c r="C12" t="s">
        <v>14</v>
      </c>
      <c r="D12">
        <v>30000</v>
      </c>
      <c r="E12">
        <v>90</v>
      </c>
      <c r="F12" t="str">
        <f t="shared" si="1"/>
        <v>NO BONUS</v>
      </c>
    </row>
    <row r="14" spans="1:6" x14ac:dyDescent="0.3">
      <c r="A14" t="s">
        <v>34</v>
      </c>
      <c r="C14" t="s">
        <v>0</v>
      </c>
      <c r="D14" t="s">
        <v>1</v>
      </c>
      <c r="E14" t="s">
        <v>16</v>
      </c>
    </row>
    <row r="15" spans="1:6" x14ac:dyDescent="0.3">
      <c r="C15" t="s">
        <v>17</v>
      </c>
      <c r="D15">
        <v>85</v>
      </c>
    </row>
    <row r="16" spans="1:6" x14ac:dyDescent="0.3">
      <c r="C16" t="s">
        <v>18</v>
      </c>
      <c r="D16">
        <v>92</v>
      </c>
    </row>
    <row r="17" spans="1:6" x14ac:dyDescent="0.3">
      <c r="C17" t="s">
        <v>19</v>
      </c>
      <c r="D17">
        <v>96</v>
      </c>
    </row>
    <row r="18" spans="1:6" x14ac:dyDescent="0.3">
      <c r="C18" t="s">
        <v>20</v>
      </c>
      <c r="D18">
        <v>75</v>
      </c>
    </row>
    <row r="19" spans="1:6" x14ac:dyDescent="0.3">
      <c r="C19" t="s">
        <v>21</v>
      </c>
      <c r="D19">
        <v>57</v>
      </c>
    </row>
    <row r="21" spans="1:6" x14ac:dyDescent="0.3">
      <c r="A21" t="s">
        <v>35</v>
      </c>
      <c r="C21" t="s">
        <v>23</v>
      </c>
      <c r="D21" t="s">
        <v>8</v>
      </c>
      <c r="E21" t="s">
        <v>24</v>
      </c>
    </row>
    <row r="22" spans="1:6" x14ac:dyDescent="0.3">
      <c r="A22" t="s">
        <v>36</v>
      </c>
      <c r="C22" t="s">
        <v>25</v>
      </c>
      <c r="D22" t="s">
        <v>6</v>
      </c>
      <c r="E22" t="s">
        <v>26</v>
      </c>
      <c r="F22" t="str">
        <f>VLOOKUP(C25,C22:E25,3,)</f>
        <v>Finance</v>
      </c>
    </row>
    <row r="23" spans="1:6" x14ac:dyDescent="0.3">
      <c r="C23" t="s">
        <v>27</v>
      </c>
      <c r="D23" t="s">
        <v>28</v>
      </c>
      <c r="E23" t="s">
        <v>9</v>
      </c>
    </row>
    <row r="24" spans="1:6" x14ac:dyDescent="0.3">
      <c r="C24" t="s">
        <v>29</v>
      </c>
      <c r="D24" t="s">
        <v>2</v>
      </c>
      <c r="E24" t="s">
        <v>30</v>
      </c>
    </row>
    <row r="25" spans="1:6" x14ac:dyDescent="0.3">
      <c r="C25" t="s">
        <v>31</v>
      </c>
      <c r="D25" t="s">
        <v>32</v>
      </c>
      <c r="E25" t="s">
        <v>33</v>
      </c>
    </row>
    <row r="28" spans="1:6" x14ac:dyDescent="0.3">
      <c r="A28" t="s">
        <v>43</v>
      </c>
      <c r="C28" t="s">
        <v>9</v>
      </c>
      <c r="D28" t="s">
        <v>37</v>
      </c>
    </row>
    <row r="29" spans="1:6" x14ac:dyDescent="0.3">
      <c r="C29">
        <v>0</v>
      </c>
      <c r="D29" s="2">
        <v>0.05</v>
      </c>
      <c r="E29">
        <f>VLOOKUP(C31,C29:D32,1,)</f>
        <v>50000</v>
      </c>
    </row>
    <row r="30" spans="1:6" x14ac:dyDescent="0.3">
      <c r="C30">
        <v>20000</v>
      </c>
      <c r="D30" s="2">
        <v>0.1</v>
      </c>
    </row>
    <row r="31" spans="1:6" x14ac:dyDescent="0.3">
      <c r="C31">
        <v>50000</v>
      </c>
      <c r="D31" s="2">
        <v>0.15</v>
      </c>
    </row>
    <row r="32" spans="1:6" x14ac:dyDescent="0.3">
      <c r="C32">
        <v>80000</v>
      </c>
      <c r="D32" s="2">
        <v>0.2</v>
      </c>
    </row>
    <row r="34" spans="1:6" x14ac:dyDescent="0.3">
      <c r="A34" t="s">
        <v>44</v>
      </c>
      <c r="C34" t="s">
        <v>0</v>
      </c>
      <c r="D34" t="s">
        <v>41</v>
      </c>
      <c r="E34" t="s">
        <v>42</v>
      </c>
    </row>
    <row r="35" spans="1:6" x14ac:dyDescent="0.3">
      <c r="C35" t="s">
        <v>38</v>
      </c>
      <c r="D35">
        <v>10</v>
      </c>
      <c r="E35">
        <v>12</v>
      </c>
      <c r="F35" t="str">
        <f>IF(D35&gt;E35,"exceeded","ok")</f>
        <v>ok</v>
      </c>
    </row>
    <row r="36" spans="1:6" x14ac:dyDescent="0.3">
      <c r="C36" t="s">
        <v>39</v>
      </c>
      <c r="D36">
        <v>10</v>
      </c>
      <c r="E36">
        <v>15</v>
      </c>
      <c r="F36" t="str">
        <f t="shared" ref="F36:F37" si="2">IF(D36&gt;E36,"exceeded","ok")</f>
        <v>ok</v>
      </c>
    </row>
    <row r="37" spans="1:6" x14ac:dyDescent="0.3">
      <c r="C37" t="s">
        <v>40</v>
      </c>
      <c r="D37">
        <v>8</v>
      </c>
      <c r="E37">
        <v>12</v>
      </c>
      <c r="F37" t="str">
        <f t="shared" si="2"/>
        <v>ok</v>
      </c>
    </row>
    <row r="39" spans="1:6" x14ac:dyDescent="0.3">
      <c r="A39" t="s">
        <v>48</v>
      </c>
      <c r="C39" t="s">
        <v>23</v>
      </c>
      <c r="D39" t="s">
        <v>45</v>
      </c>
    </row>
    <row r="40" spans="1:6" x14ac:dyDescent="0.3">
      <c r="C40" t="s">
        <v>27</v>
      </c>
      <c r="D40">
        <v>55000</v>
      </c>
      <c r="E40">
        <f>INDEX($C$40:$D$43,3,2)</f>
        <v>72000</v>
      </c>
    </row>
    <row r="41" spans="1:6" x14ac:dyDescent="0.3">
      <c r="C41" t="s">
        <v>29</v>
      </c>
      <c r="D41">
        <v>41000</v>
      </c>
    </row>
    <row r="42" spans="1:6" x14ac:dyDescent="0.3">
      <c r="C42" t="s">
        <v>46</v>
      </c>
      <c r="D42">
        <v>72000</v>
      </c>
    </row>
    <row r="43" spans="1:6" x14ac:dyDescent="0.3">
      <c r="C43" t="s">
        <v>47</v>
      </c>
      <c r="D43">
        <v>62000</v>
      </c>
    </row>
    <row r="45" spans="1:6" x14ac:dyDescent="0.3">
      <c r="A45" t="s">
        <v>51</v>
      </c>
      <c r="C45" t="s">
        <v>23</v>
      </c>
      <c r="D45" t="s">
        <v>24</v>
      </c>
    </row>
    <row r="46" spans="1:6" x14ac:dyDescent="0.3">
      <c r="C46" t="s">
        <v>25</v>
      </c>
      <c r="D46" t="s">
        <v>30</v>
      </c>
    </row>
    <row r="47" spans="1:6" x14ac:dyDescent="0.3">
      <c r="C47" t="s">
        <v>49</v>
      </c>
      <c r="D47" t="s">
        <v>33</v>
      </c>
    </row>
    <row r="48" spans="1:6" x14ac:dyDescent="0.3">
      <c r="C48" t="s">
        <v>50</v>
      </c>
      <c r="D48" t="s">
        <v>26</v>
      </c>
    </row>
    <row r="49" spans="3:4" x14ac:dyDescent="0.3">
      <c r="C49" t="s">
        <v>47</v>
      </c>
      <c r="D49" t="s">
        <v>9</v>
      </c>
    </row>
  </sheetData>
  <sortState xmlns:xlrd2="http://schemas.microsoft.com/office/spreadsheetml/2017/richdata2" ref="C29:C33">
    <sortCondition ref="C34:C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Kashyap</dc:creator>
  <cp:lastModifiedBy>Sarthak Kashyap</cp:lastModifiedBy>
  <dcterms:created xsi:type="dcterms:W3CDTF">2025-12-13T18:38:59Z</dcterms:created>
  <dcterms:modified xsi:type="dcterms:W3CDTF">2025-12-13T19:34:41Z</dcterms:modified>
</cp:coreProperties>
</file>